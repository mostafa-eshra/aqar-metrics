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<sst xmlns="http://schemas.openxmlformats.org/spreadsheetml/2006/main" count="44" uniqueCount="35">
  <si>
    <t xml:space="preserve">نسبة الشراكة </t>
  </si>
  <si>
    <t>الارض</t>
  </si>
  <si>
    <t>المرحلة الثالثة</t>
  </si>
  <si>
    <t>المرحلة الثانية</t>
  </si>
  <si>
    <t>المرحلة الاولى</t>
  </si>
  <si>
    <t>مساحة</t>
  </si>
  <si>
    <t>المساحة السكنية</t>
  </si>
  <si>
    <t>سعر</t>
  </si>
  <si>
    <t>متوسط سعر المترالسكنى</t>
  </si>
  <si>
    <t>المساحة القصوى للبناء</t>
  </si>
  <si>
    <t>المساحة التجارية</t>
  </si>
  <si>
    <t>المساحة البيعية للمطور</t>
  </si>
  <si>
    <t>متوسط سعر التجارى</t>
  </si>
  <si>
    <t>مجموع الايرادات</t>
  </si>
  <si>
    <t>السنة</t>
  </si>
  <si>
    <t>التجارى المرحلة الاولى</t>
  </si>
  <si>
    <t>تجاري المرحلة الثانية</t>
  </si>
  <si>
    <t>الاجمالى</t>
  </si>
  <si>
    <t>تكلفة الانشاء</t>
  </si>
  <si>
    <t xml:space="preserve">التكلفة للمتر </t>
  </si>
  <si>
    <t>المساحة</t>
  </si>
  <si>
    <t>الفندق</t>
  </si>
  <si>
    <t>السكنى</t>
  </si>
  <si>
    <t>التجارى</t>
  </si>
  <si>
    <t>جراج</t>
  </si>
  <si>
    <t>مرافق+ لاند سكيب</t>
  </si>
  <si>
    <t>%</t>
  </si>
  <si>
    <t>تكلفة التسويق</t>
  </si>
  <si>
    <t>تكلفة البيع</t>
  </si>
  <si>
    <t>تكلفة الادارية</t>
  </si>
  <si>
    <t>تصاميم و اشراف</t>
  </si>
  <si>
    <t>اجمالى التكلفة</t>
  </si>
  <si>
    <t>احمالى ايراد السكنى</t>
  </si>
  <si>
    <t>اجمالى ايراد التجارى</t>
  </si>
  <si>
    <t>الربح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</si>
</sst>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2" numFmtId="0" xfId="0" applyAlignment="1" applyBorder="1" applyFont="1">
      <alignment horizontal="right"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right" readingOrder="0"/>
    </xf>
    <xf borderId="3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2" numFmtId="0" xfId="0" applyAlignment="1" applyBorder="1" applyFont="1">
      <alignment horizontal="right" readingOrder="0"/>
    </xf>
    <xf borderId="4" fillId="0" fontId="1" numFmtId="0" xfId="0" applyBorder="1" applyFont="1"/>
    <xf borderId="3" fillId="0" fontId="1" numFmtId="0" xfId="0" applyBorder="1" applyFont="1"/>
    <xf borderId="0" fillId="0" fontId="1" numFmtId="0" xfId="0" applyAlignment="1" applyFont="1">
      <alignment horizontal="center" readingOrder="0"/>
    </xf>
    <xf borderId="3" fillId="0" fontId="1" numFmtId="0" xfId="0" applyAlignment="1" applyBorder="1" applyFont="1">
      <alignment horizontal="right" readingOrder="0"/>
    </xf>
    <xf borderId="3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5" fillId="0" fontId="1" numFmtId="0" xfId="0" applyBorder="1" applyFont="1"/>
    <xf borderId="4" fillId="0" fontId="2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3" fillId="0" fontId="2" numFmtId="0" xfId="0" applyAlignment="1" applyBorder="1" applyFont="1">
      <alignment horizontal="center" readingOrder="0"/>
    </xf>
    <xf borderId="7" fillId="0" fontId="1" numFmtId="0" xfId="0" applyBorder="1" applyFont="1"/>
    <xf borderId="8" fillId="0" fontId="2" numFmtId="0" xfId="0" applyAlignment="1" applyBorder="1" applyFont="1">
      <alignment horizontal="right" readingOrder="0"/>
    </xf>
    <xf borderId="9" fillId="0" fontId="3" numFmtId="0" xfId="0" applyBorder="1" applyFont="1"/>
    <xf borderId="10" fillId="0" fontId="3" numFmtId="0" xfId="0" applyBorder="1" applyFont="1"/>
    <xf borderId="5" fillId="0" fontId="1" numFmtId="0" xfId="0" applyAlignment="1" applyBorder="1" applyFont="1">
      <alignment horizontal="right" readingOrder="0"/>
    </xf>
    <xf borderId="8" fillId="0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75"/>
    <col customWidth="1" min="10" max="10" width="13.5"/>
    <col customWidth="1" min="11" max="11" width="18.38"/>
  </cols>
  <sheetData>
    <row r="3">
      <c r="B3" s="1">
        <v>60.0</v>
      </c>
      <c r="C3" s="1" t="s">
        <v>0</v>
      </c>
      <c r="E3" s="2" t="s">
        <v>1</v>
      </c>
      <c r="F3" s="3"/>
      <c r="H3" s="4" t="s">
        <v>2</v>
      </c>
      <c r="I3" s="4" t="s">
        <v>3</v>
      </c>
      <c r="J3" s="4" t="s">
        <v>4</v>
      </c>
    </row>
    <row r="4">
      <c r="E4" s="5">
        <v>69000.0</v>
      </c>
      <c r="F4" s="6" t="s">
        <v>5</v>
      </c>
      <c r="H4" s="7">
        <f>E7/3</f>
        <v>8280</v>
      </c>
      <c r="I4" s="7">
        <f>E7/3</f>
        <v>8280</v>
      </c>
      <c r="J4" s="7">
        <f>E7/3</f>
        <v>8280</v>
      </c>
      <c r="K4" s="4" t="s">
        <v>6</v>
      </c>
    </row>
    <row r="5">
      <c r="E5" s="5">
        <v>0.0</v>
      </c>
      <c r="F5" s="6" t="s">
        <v>7</v>
      </c>
      <c r="H5" s="8">
        <v>120000.0</v>
      </c>
      <c r="I5" s="8">
        <v>95000.0</v>
      </c>
      <c r="J5" s="8">
        <v>80000.0</v>
      </c>
      <c r="K5" s="9" t="s">
        <v>8</v>
      </c>
    </row>
    <row r="6">
      <c r="E6" s="10">
        <f>E4*0.6</f>
        <v>41400</v>
      </c>
      <c r="F6" s="5" t="s">
        <v>9</v>
      </c>
      <c r="H6" s="7">
        <v>0.0</v>
      </c>
      <c r="I6" s="7">
        <v>0.0</v>
      </c>
      <c r="J6" s="11"/>
      <c r="K6" s="4" t="s">
        <v>10</v>
      </c>
    </row>
    <row r="7">
      <c r="E7" s="10">
        <f>E6*B3/100</f>
        <v>24840</v>
      </c>
      <c r="F7" s="5" t="s">
        <v>11</v>
      </c>
      <c r="H7" s="7">
        <v>200000.0</v>
      </c>
      <c r="I7" s="7">
        <v>150000.0</v>
      </c>
      <c r="J7" s="11"/>
      <c r="K7" s="4" t="s">
        <v>12</v>
      </c>
    </row>
    <row r="9">
      <c r="A9" s="12"/>
      <c r="B9" s="13" t="s">
        <v>13</v>
      </c>
      <c r="C9" s="14">
        <v>8.0</v>
      </c>
      <c r="D9" s="14">
        <v>7.0</v>
      </c>
      <c r="E9" s="14">
        <v>6.0</v>
      </c>
      <c r="F9" s="14">
        <v>5.0</v>
      </c>
      <c r="G9" s="14">
        <v>4.0</v>
      </c>
      <c r="H9" s="14">
        <v>3.0</v>
      </c>
      <c r="I9" s="14">
        <v>2.0</v>
      </c>
      <c r="J9" s="15">
        <v>1.0</v>
      </c>
      <c r="K9" s="4" t="s">
        <v>14</v>
      </c>
    </row>
    <row r="10">
      <c r="B10" s="11">
        <f t="shared" ref="B10:B11" si="1">sum(C10, D10, E10, F10, G10, H10, I10, J10,) </f>
        <v>662400000</v>
      </c>
      <c r="C10" s="11"/>
      <c r="D10" s="11"/>
      <c r="E10" s="11">
        <f>(J5*J4)*0.1</f>
        <v>66240000</v>
      </c>
      <c r="F10" s="11">
        <f>(J5*J4)*0.1</f>
        <v>66240000</v>
      </c>
      <c r="G10" s="11">
        <f>(J5*J4)*0.25</f>
        <v>165600000</v>
      </c>
      <c r="H10" s="11">
        <f>(J5*J4)*0.15</f>
        <v>99360000</v>
      </c>
      <c r="I10" s="11">
        <f>(J5*J4)*0.15</f>
        <v>99360000</v>
      </c>
      <c r="J10" s="11">
        <f>(J4*J5)*0.25</f>
        <v>165600000</v>
      </c>
      <c r="K10" s="4" t="s">
        <v>4</v>
      </c>
    </row>
    <row r="11">
      <c r="B11" s="11">
        <f t="shared" si="1"/>
        <v>786600000</v>
      </c>
      <c r="C11" s="11"/>
      <c r="D11" s="11">
        <f>(I5*I4)*0.1</f>
        <v>78660000</v>
      </c>
      <c r="E11" s="11">
        <f>(I5*I4)*0.1</f>
        <v>78660000</v>
      </c>
      <c r="F11" s="11">
        <f>(I5*I4)*0.25</f>
        <v>196650000</v>
      </c>
      <c r="G11" s="11">
        <f>(I5*I4)*0.15</f>
        <v>117990000</v>
      </c>
      <c r="H11" s="11">
        <f>(I5*I4)*0.15</f>
        <v>117990000</v>
      </c>
      <c r="I11" s="11">
        <f>(I5*I4)*0.25</f>
        <v>196650000</v>
      </c>
      <c r="J11" s="11"/>
      <c r="K11" s="4" t="s">
        <v>3</v>
      </c>
    </row>
    <row r="12">
      <c r="B12" s="11">
        <f>sum(C12, D12, E12, F12, G12, H12, I12, J12) </f>
        <v>993600000</v>
      </c>
      <c r="C12" s="11">
        <f>(H5*H4)*0.1</f>
        <v>99360000</v>
      </c>
      <c r="D12" s="11">
        <f>(H5*H4)*0.1</f>
        <v>99360000</v>
      </c>
      <c r="E12" s="11">
        <f>(H5*H4)*0.25</f>
        <v>248400000</v>
      </c>
      <c r="F12" s="11">
        <f>(H5*H4)*0.15</f>
        <v>149040000</v>
      </c>
      <c r="G12" s="11">
        <f>(H5*H4)*0.15</f>
        <v>149040000</v>
      </c>
      <c r="H12" s="11">
        <f>(H5*H4)*0.25</f>
        <v>248400000</v>
      </c>
      <c r="I12" s="11"/>
      <c r="J12" s="11"/>
      <c r="K12" s="4" t="s">
        <v>2</v>
      </c>
    </row>
    <row r="13">
      <c r="B13" s="11">
        <f t="shared" ref="B13:B15" si="2">C13+D13+E13+F13+G13+H13+I13+J13</f>
        <v>0</v>
      </c>
      <c r="C13" s="11"/>
      <c r="D13" s="11">
        <f>0.15*I6*I7</f>
        <v>0</v>
      </c>
      <c r="E13" s="11">
        <f>0.2*I6*I7</f>
        <v>0</v>
      </c>
      <c r="F13" s="11">
        <f>0.15*I6*I7</f>
        <v>0</v>
      </c>
      <c r="G13" s="11">
        <f>0.15*I6*I7</f>
        <v>0</v>
      </c>
      <c r="H13" s="11">
        <f>0.15*I6*I7</f>
        <v>0</v>
      </c>
      <c r="I13" s="11">
        <f>0.2*I6*I7</f>
        <v>0</v>
      </c>
      <c r="J13" s="11"/>
      <c r="K13" s="4" t="s">
        <v>15</v>
      </c>
    </row>
    <row r="14">
      <c r="B14" s="16">
        <f t="shared" si="2"/>
        <v>0</v>
      </c>
      <c r="C14" s="16">
        <f>0.15*H6*H7</f>
        <v>0</v>
      </c>
      <c r="D14" s="16">
        <f>0.2*H6*H7</f>
        <v>0</v>
      </c>
      <c r="E14" s="16">
        <f>0.15*H6*H7</f>
        <v>0</v>
      </c>
      <c r="F14" s="16">
        <f>0.15*H6*H7</f>
        <v>0</v>
      </c>
      <c r="G14" s="16">
        <f>0.15*H6*H7</f>
        <v>0</v>
      </c>
      <c r="H14" s="16">
        <f>0.2*H6*H7</f>
        <v>0</v>
      </c>
      <c r="I14" s="16"/>
      <c r="J14" s="16"/>
      <c r="K14" s="9" t="s">
        <v>16</v>
      </c>
    </row>
    <row r="15">
      <c r="B15" s="10">
        <f t="shared" si="2"/>
        <v>2442600000</v>
      </c>
      <c r="C15" s="10">
        <f t="shared" ref="C15:E15" si="3">C10+C11+C12+C13+C14</f>
        <v>99360000</v>
      </c>
      <c r="D15" s="10">
        <f t="shared" si="3"/>
        <v>178020000</v>
      </c>
      <c r="E15" s="10">
        <f t="shared" si="3"/>
        <v>393300000</v>
      </c>
      <c r="F15" s="10">
        <f>F10+F12+F11+F13+F14</f>
        <v>411930000</v>
      </c>
      <c r="G15" s="10">
        <f t="shared" ref="G15:J15" si="4">G10+G11+G12+G13+G14</f>
        <v>432630000</v>
      </c>
      <c r="H15" s="10">
        <f t="shared" si="4"/>
        <v>465750000</v>
      </c>
      <c r="I15" s="10">
        <f t="shared" si="4"/>
        <v>296010000</v>
      </c>
      <c r="J15" s="10">
        <f t="shared" si="4"/>
        <v>165600000</v>
      </c>
      <c r="K15" s="17" t="s">
        <v>17</v>
      </c>
    </row>
    <row r="16">
      <c r="K16" s="18"/>
    </row>
    <row r="18">
      <c r="J18" s="19" t="s">
        <v>18</v>
      </c>
    </row>
    <row r="20">
      <c r="H20" s="20" t="s">
        <v>17</v>
      </c>
      <c r="I20" s="20" t="s">
        <v>19</v>
      </c>
      <c r="J20" s="20" t="s">
        <v>20</v>
      </c>
    </row>
    <row r="21">
      <c r="H21" s="11">
        <f t="shared" ref="H21:H25" si="5">J21*I21</f>
        <v>0</v>
      </c>
      <c r="I21" s="7">
        <v>120000.0</v>
      </c>
      <c r="J21" s="7">
        <v>0.0</v>
      </c>
      <c r="K21" s="4" t="s">
        <v>21</v>
      </c>
    </row>
    <row r="22">
      <c r="H22" s="11">
        <f t="shared" si="5"/>
        <v>1035000000</v>
      </c>
      <c r="I22" s="7">
        <v>25000.0</v>
      </c>
      <c r="J22" s="7">
        <f>E6</f>
        <v>41400</v>
      </c>
      <c r="K22" s="4" t="s">
        <v>22</v>
      </c>
    </row>
    <row r="23">
      <c r="H23" s="11">
        <f t="shared" si="5"/>
        <v>0</v>
      </c>
      <c r="I23" s="7">
        <v>30000.0</v>
      </c>
      <c r="J23" s="7">
        <v>0.0</v>
      </c>
      <c r="K23" s="4" t="s">
        <v>23</v>
      </c>
    </row>
    <row r="24">
      <c r="H24" s="11">
        <f t="shared" si="5"/>
        <v>0</v>
      </c>
      <c r="I24" s="7">
        <v>15000.0</v>
      </c>
      <c r="J24" s="7">
        <v>0.0</v>
      </c>
      <c r="K24" s="4" t="s">
        <v>24</v>
      </c>
    </row>
    <row r="25">
      <c r="H25" s="16">
        <f t="shared" si="5"/>
        <v>207000000</v>
      </c>
      <c r="I25" s="8">
        <v>5000.0</v>
      </c>
      <c r="J25" s="8">
        <v>41400.0</v>
      </c>
      <c r="K25" s="9" t="s">
        <v>25</v>
      </c>
    </row>
    <row r="26">
      <c r="H26" s="21">
        <f>H21+H22+H23+H24+H25</f>
        <v>1242000000</v>
      </c>
      <c r="I26" s="22" t="s">
        <v>17</v>
      </c>
      <c r="J26" s="23"/>
      <c r="K26" s="24"/>
    </row>
    <row r="28">
      <c r="I28" s="14" t="s">
        <v>17</v>
      </c>
      <c r="J28" s="14" t="s">
        <v>26</v>
      </c>
    </row>
    <row r="29">
      <c r="I29" s="11">
        <f>J29/100*B15</f>
        <v>97704000</v>
      </c>
      <c r="J29" s="7">
        <v>4.0</v>
      </c>
      <c r="K29" s="13" t="s">
        <v>27</v>
      </c>
    </row>
    <row r="30">
      <c r="I30" s="11">
        <f>J30/100*B15</f>
        <v>122130000</v>
      </c>
      <c r="J30" s="7">
        <v>5.0</v>
      </c>
      <c r="K30" s="13" t="s">
        <v>28</v>
      </c>
    </row>
    <row r="31">
      <c r="I31" s="11">
        <f>J31/100*B15</f>
        <v>97704000</v>
      </c>
      <c r="J31" s="7">
        <v>4.0</v>
      </c>
      <c r="K31" s="13" t="s">
        <v>29</v>
      </c>
    </row>
    <row r="32">
      <c r="I32" s="11">
        <f>J32/100*H26</f>
        <v>31050000</v>
      </c>
      <c r="J32" s="7">
        <v>2.5</v>
      </c>
      <c r="K32" s="13" t="s">
        <v>30</v>
      </c>
    </row>
    <row r="33">
      <c r="I33" s="16">
        <f>E5</f>
        <v>0</v>
      </c>
      <c r="J33" s="8"/>
      <c r="K33" s="25" t="s">
        <v>1</v>
      </c>
    </row>
    <row r="34">
      <c r="I34" s="21">
        <f>I29+I30+I31+I32+I33</f>
        <v>348588000</v>
      </c>
      <c r="J34" s="26" t="s">
        <v>17</v>
      </c>
      <c r="K34" s="24"/>
    </row>
    <row r="36">
      <c r="J36" s="11">
        <f>H26+I34+E5</f>
        <v>1590588000</v>
      </c>
      <c r="K36" s="4" t="s">
        <v>31</v>
      </c>
    </row>
    <row r="37">
      <c r="J37" s="11">
        <f>B10+B11+B12</f>
        <v>2442600000</v>
      </c>
      <c r="K37" s="4" t="s">
        <v>32</v>
      </c>
    </row>
    <row r="38">
      <c r="J38" s="11">
        <f>B13+B14</f>
        <v>0</v>
      </c>
      <c r="K38" s="4" t="s">
        <v>33</v>
      </c>
    </row>
    <row r="39">
      <c r="J39" s="8"/>
      <c r="K39" s="25" t="s">
        <v>21</v>
      </c>
    </row>
    <row r="40">
      <c r="J40" s="21">
        <f>J39+J38+J37-J36</f>
        <v>852012000</v>
      </c>
      <c r="K40" s="27" t="s">
        <v>34</v>
      </c>
    </row>
  </sheetData>
  <mergeCells count="4">
    <mergeCell ref="E3:F3"/>
    <mergeCell ref="J18:K18"/>
    <mergeCell ref="I26:K26"/>
    <mergeCell ref="J34:K34"/>
  </mergeCells>
  <drawing r:id="rId1"/>
</worksheet>
</file>